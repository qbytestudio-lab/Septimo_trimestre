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" sheetId="1" r:id="rId4"/>
  </sheets>
  <definedNames/>
  <calcPr/>
  <extLst>
    <ext uri="GoogleSheetsCustomDataVersion2">
      <go:sheetsCustomData xmlns:go="http://customooxmlschemas.google.com/" r:id="rId5" roundtripDataChecksum="R6v0nfqrf+Dr8YooaypyW0sJszYL3E89dntNg2x8gAI="/>
    </ext>
  </extLst>
</workbook>
</file>

<file path=xl/sharedStrings.xml><?xml version="1.0" encoding="utf-8"?>
<sst xmlns="http://schemas.openxmlformats.org/spreadsheetml/2006/main" count="57" uniqueCount="53">
  <si>
    <t>Proyecto medio</t>
  </si>
  <si>
    <t>a</t>
  </si>
  <si>
    <t>b</t>
  </si>
  <si>
    <t>c</t>
  </si>
  <si>
    <t>d</t>
  </si>
  <si>
    <t>Factores de costo</t>
  </si>
  <si>
    <t>Fiabilidad</t>
  </si>
  <si>
    <t>Tamaño bd</t>
  </si>
  <si>
    <t>Complejidad</t>
  </si>
  <si>
    <t xml:space="preserve"> </t>
  </si>
  <si>
    <t>Restricciones tiempo de ejecución</t>
  </si>
  <si>
    <t>Restricciones memoria virtual</t>
  </si>
  <si>
    <t>Volatilidad maquina virtual</t>
  </si>
  <si>
    <t>Tiempo de respues</t>
  </si>
  <si>
    <t>Capacidad de analisis</t>
  </si>
  <si>
    <t>Experiencia en la aplicación</t>
  </si>
  <si>
    <t>Calidad de los programadores</t>
  </si>
  <si>
    <t>Experiencia en la maquina virtual</t>
  </si>
  <si>
    <t>Experiencia en el lenguaje</t>
  </si>
  <si>
    <t>Tecnicas actualizadas de programacion</t>
  </si>
  <si>
    <t>Utilizacion de herramientas de software</t>
  </si>
  <si>
    <t>Restricciones de tiempo</t>
  </si>
  <si>
    <t>Suma factores de costo</t>
  </si>
  <si>
    <t>Factores funcionales de peso</t>
  </si>
  <si>
    <t>Simple</t>
  </si>
  <si>
    <t>Media</t>
  </si>
  <si>
    <t>Compleja</t>
  </si>
  <si>
    <t>Contador</t>
  </si>
  <si>
    <t>Total multi</t>
  </si>
  <si>
    <t># entrada usuario</t>
  </si>
  <si>
    <t># salida usuario</t>
  </si>
  <si>
    <t># consultas usuario</t>
  </si>
  <si>
    <t># archivos lógicos internos (tablas)</t>
  </si>
  <si>
    <t># interfaces externas</t>
  </si>
  <si>
    <t>Suma Factores de peso</t>
  </si>
  <si>
    <t xml:space="preserve">La familia más cercana &gt; https://domingogallardo.github.io/apuntes-lpp/teoria/tema01-historia-lenguajes-programacion/imagenes/genealogia-de-los-lp.png  </t>
  </si>
  <si>
    <t>PF</t>
  </si>
  <si>
    <t>Lenguaje</t>
  </si>
  <si>
    <t>Correlación</t>
  </si>
  <si>
    <t>Python</t>
  </si>
  <si>
    <t>LOC=PF* Correlación</t>
  </si>
  <si>
    <t>LOC</t>
  </si>
  <si>
    <t>(Lineas de código)</t>
  </si>
  <si>
    <t>KLOC /1000</t>
  </si>
  <si>
    <t>(Kilo o miles línea de código)</t>
  </si>
  <si>
    <t>Esfuerzo</t>
  </si>
  <si>
    <t>Duración</t>
  </si>
  <si>
    <t>Personal</t>
  </si>
  <si>
    <t>Costo</t>
  </si>
  <si>
    <t>persona/mes</t>
  </si>
  <si>
    <t>meses</t>
  </si>
  <si>
    <t>personas</t>
  </si>
  <si>
    <t>xmes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</si>
</sst>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\ #,##0.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7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1" fillId="3" fontId="2" numFmtId="0" xfId="0" applyBorder="1" applyFill="1" applyFont="1"/>
    <xf borderId="1" fillId="3" fontId="2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1" fillId="4" fontId="2" numFmtId="0" xfId="0" applyBorder="1" applyFill="1" applyFont="1"/>
    <xf borderId="1" fillId="5" fontId="2" numFmtId="0" xfId="0" applyBorder="1" applyFill="1" applyFont="1"/>
    <xf borderId="1" fillId="4" fontId="2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7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2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</xdr:row>
      <xdr:rowOff>104775</xdr:rowOff>
    </xdr:from>
    <xdr:ext cx="459105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42</xdr:row>
      <xdr:rowOff>47625</xdr:rowOff>
    </xdr:from>
    <xdr:ext cx="1504950" cy="13716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0</xdr:row>
      <xdr:rowOff>0</xdr:rowOff>
    </xdr:from>
    <xdr:ext cx="2676525" cy="92392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4</xdr:row>
      <xdr:rowOff>171450</xdr:rowOff>
    </xdr:from>
    <xdr:ext cx="3476625" cy="2905125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20</xdr:row>
      <xdr:rowOff>180975</xdr:rowOff>
    </xdr:from>
    <xdr:ext cx="4514850" cy="1504950"/>
    <xdr:pic>
      <xdr:nvPicPr>
        <xdr:cNvPr id="0" name="image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85725</xdr:rowOff>
    </xdr:from>
    <xdr:ext cx="1485900" cy="3143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28</xdr:row>
      <xdr:rowOff>152400</xdr:rowOff>
    </xdr:from>
    <xdr:ext cx="1200150" cy="23145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4876800" cy="3438525"/>
    <xdr:pic>
      <xdr:nvPicPr>
        <xdr:cNvPr id="0" name="image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7.57"/>
    <col customWidth="1" min="3" max="3" width="23.71"/>
    <col customWidth="1" min="4" max="4" width="10.71"/>
    <col customWidth="1" min="5" max="5" width="21.43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2">
        <v>3.0</v>
      </c>
      <c r="C2" s="2">
        <v>1.12</v>
      </c>
      <c r="D2" s="2">
        <v>2.5</v>
      </c>
      <c r="E2" s="2">
        <v>0.35</v>
      </c>
    </row>
    <row r="4">
      <c r="A4" s="1" t="s">
        <v>5</v>
      </c>
      <c r="B4" s="3" t="s">
        <v>6</v>
      </c>
      <c r="C4" s="4">
        <v>1.0</v>
      </c>
    </row>
    <row r="5">
      <c r="B5" s="3" t="s">
        <v>7</v>
      </c>
      <c r="C5" s="4">
        <v>1.0</v>
      </c>
    </row>
    <row r="6">
      <c r="B6" s="3" t="s">
        <v>8</v>
      </c>
      <c r="C6" s="5">
        <v>1.3</v>
      </c>
    </row>
    <row r="7">
      <c r="A7" s="6" t="s">
        <v>9</v>
      </c>
      <c r="B7" s="3" t="s">
        <v>10</v>
      </c>
      <c r="C7" s="4">
        <v>1.0</v>
      </c>
    </row>
    <row r="8">
      <c r="B8" s="3" t="s">
        <v>11</v>
      </c>
      <c r="C8" s="4">
        <v>0.0</v>
      </c>
    </row>
    <row r="9">
      <c r="B9" s="3" t="s">
        <v>12</v>
      </c>
      <c r="C9" s="4">
        <v>0.0</v>
      </c>
    </row>
    <row r="10">
      <c r="B10" s="3" t="s">
        <v>13</v>
      </c>
      <c r="C10" s="4">
        <v>1.0</v>
      </c>
    </row>
    <row r="11">
      <c r="B11" s="3" t="s">
        <v>14</v>
      </c>
      <c r="C11" s="4">
        <v>0.86</v>
      </c>
    </row>
    <row r="12">
      <c r="B12" s="3" t="s">
        <v>15</v>
      </c>
      <c r="C12" s="4">
        <v>0.91</v>
      </c>
    </row>
    <row r="13">
      <c r="B13" s="3" t="s">
        <v>16</v>
      </c>
      <c r="C13" s="4">
        <v>1.0</v>
      </c>
    </row>
    <row r="14">
      <c r="B14" s="3" t="s">
        <v>17</v>
      </c>
      <c r="C14" s="5">
        <v>1.21</v>
      </c>
    </row>
    <row r="15">
      <c r="B15" s="3" t="s">
        <v>18</v>
      </c>
      <c r="C15" s="5">
        <v>1.0</v>
      </c>
    </row>
    <row r="16">
      <c r="B16" s="3" t="s">
        <v>19</v>
      </c>
      <c r="C16" s="4">
        <v>1.0</v>
      </c>
    </row>
    <row r="17">
      <c r="B17" s="3" t="s">
        <v>20</v>
      </c>
      <c r="C17" s="5">
        <v>0.91</v>
      </c>
    </row>
    <row r="18">
      <c r="B18" s="3" t="s">
        <v>21</v>
      </c>
      <c r="C18" s="5">
        <v>1.1</v>
      </c>
    </row>
    <row r="19">
      <c r="A19" s="1" t="s">
        <v>22</v>
      </c>
      <c r="C19" s="7">
        <f>SUM(C4:C18)</f>
        <v>13.29</v>
      </c>
    </row>
    <row r="21" ht="15.75" customHeight="1"/>
    <row r="22" ht="15.75" customHeight="1">
      <c r="A22" s="1" t="s">
        <v>23</v>
      </c>
      <c r="B22" s="1" t="s">
        <v>24</v>
      </c>
      <c r="C22" s="1" t="s">
        <v>25</v>
      </c>
      <c r="D22" s="1" t="s">
        <v>26</v>
      </c>
      <c r="E22" s="1" t="s">
        <v>27</v>
      </c>
      <c r="F22" s="1" t="s">
        <v>28</v>
      </c>
    </row>
    <row r="23" ht="15.75" customHeight="1">
      <c r="A23" s="1" t="s">
        <v>29</v>
      </c>
      <c r="B23" s="1">
        <v>7.0</v>
      </c>
      <c r="C23" s="2">
        <v>10.0</v>
      </c>
      <c r="D23" s="1">
        <v>15.0</v>
      </c>
      <c r="E23" s="5">
        <v>8.0</v>
      </c>
      <c r="F23" s="1">
        <f t="shared" ref="F23:F27" si="1">C23*E23</f>
        <v>80</v>
      </c>
    </row>
    <row r="24" ht="15.75" customHeight="1">
      <c r="A24" s="1" t="s">
        <v>30</v>
      </c>
      <c r="B24" s="1">
        <v>5.0</v>
      </c>
      <c r="C24" s="2">
        <v>7.0</v>
      </c>
      <c r="D24" s="1">
        <v>10.0</v>
      </c>
      <c r="E24" s="5">
        <v>8.0</v>
      </c>
      <c r="F24" s="1">
        <f t="shared" si="1"/>
        <v>56</v>
      </c>
    </row>
    <row r="25" ht="15.75" customHeight="1">
      <c r="A25" s="1" t="s">
        <v>31</v>
      </c>
      <c r="B25" s="1">
        <v>3.0</v>
      </c>
      <c r="C25" s="2">
        <v>4.0</v>
      </c>
      <c r="D25" s="1">
        <v>6.0</v>
      </c>
      <c r="E25" s="5">
        <v>6.0</v>
      </c>
      <c r="F25" s="1">
        <f t="shared" si="1"/>
        <v>24</v>
      </c>
    </row>
    <row r="26" ht="15.75" customHeight="1">
      <c r="A26" s="1" t="s">
        <v>32</v>
      </c>
      <c r="B26" s="1">
        <v>4.0</v>
      </c>
      <c r="C26" s="2">
        <v>5.0</v>
      </c>
      <c r="D26" s="1">
        <v>7.0</v>
      </c>
      <c r="E26" s="5">
        <v>17.0</v>
      </c>
      <c r="F26" s="1">
        <f t="shared" si="1"/>
        <v>85</v>
      </c>
    </row>
    <row r="27" ht="15.75" customHeight="1">
      <c r="A27" s="1" t="s">
        <v>33</v>
      </c>
      <c r="B27" s="1">
        <v>3.0</v>
      </c>
      <c r="C27" s="2">
        <v>4.0</v>
      </c>
      <c r="D27" s="1">
        <v>6.0</v>
      </c>
      <c r="E27" s="4">
        <v>0.0</v>
      </c>
      <c r="F27" s="1">
        <f t="shared" si="1"/>
        <v>0</v>
      </c>
    </row>
    <row r="28" ht="15.75" customHeight="1">
      <c r="E28" s="1" t="s">
        <v>34</v>
      </c>
      <c r="F28" s="7">
        <f>SUM(F23:F27)</f>
        <v>245</v>
      </c>
    </row>
    <row r="29" ht="15.75" customHeight="1"/>
    <row r="30" ht="15.75" customHeight="1">
      <c r="F30" s="1" t="s">
        <v>35</v>
      </c>
    </row>
    <row r="31" ht="15.75" customHeight="1"/>
    <row r="32" ht="15.75" customHeight="1"/>
    <row r="33" ht="15.75" customHeight="1">
      <c r="A33" s="1" t="s">
        <v>36</v>
      </c>
      <c r="B33" s="7">
        <f>(F28*(0.65+(0.01*C19)))</f>
        <v>191.8105</v>
      </c>
    </row>
    <row r="34" ht="15.75" customHeight="1"/>
    <row r="35" ht="15.75" customHeight="1">
      <c r="A35" s="1" t="s">
        <v>37</v>
      </c>
      <c r="B35" s="1" t="s">
        <v>38</v>
      </c>
    </row>
    <row r="36" ht="15.75" customHeight="1">
      <c r="A36" s="6" t="s">
        <v>39</v>
      </c>
      <c r="B36" s="5">
        <v>53.0</v>
      </c>
    </row>
    <row r="37" ht="15.75" customHeight="1"/>
    <row r="38" ht="15.75" customHeight="1"/>
    <row r="39" ht="15.75" customHeight="1">
      <c r="A39" s="1" t="s">
        <v>40</v>
      </c>
    </row>
    <row r="40" ht="15.75" customHeight="1">
      <c r="A40" s="1" t="s">
        <v>41</v>
      </c>
      <c r="B40" s="7">
        <f>B33*B36</f>
        <v>10165.9565</v>
      </c>
      <c r="C40" s="1" t="s">
        <v>42</v>
      </c>
    </row>
    <row r="41" ht="15.75" customHeight="1">
      <c r="A41" s="1" t="s">
        <v>43</v>
      </c>
      <c r="B41" s="7">
        <f>B40/1000</f>
        <v>10.1659565</v>
      </c>
      <c r="C41" s="1" t="s">
        <v>44</v>
      </c>
    </row>
    <row r="42" ht="15.75" customHeight="1"/>
    <row r="43" ht="15.75" customHeight="1"/>
    <row r="44" ht="15.75" customHeight="1"/>
    <row r="45" ht="15.75" customHeight="1">
      <c r="C45" s="1" t="s">
        <v>45</v>
      </c>
    </row>
    <row r="46" ht="15.75" customHeight="1">
      <c r="C46" s="1" t="s">
        <v>46</v>
      </c>
    </row>
    <row r="47" ht="15.75" customHeight="1">
      <c r="C47" s="1" t="s">
        <v>47</v>
      </c>
    </row>
    <row r="48" ht="15.75" customHeight="1">
      <c r="C48" s="1" t="s">
        <v>48</v>
      </c>
    </row>
    <row r="49" ht="15.75" customHeight="1"/>
    <row r="50" ht="15.75" customHeight="1"/>
    <row r="51" ht="15.75" customHeight="1"/>
    <row r="52" ht="15.75" customHeight="1">
      <c r="A52" s="8" t="s">
        <v>45</v>
      </c>
      <c r="B52" s="7">
        <f>B2*POWER(B41,C2)</f>
        <v>40.28350877</v>
      </c>
      <c r="C52" s="1" t="s">
        <v>49</v>
      </c>
    </row>
    <row r="53" ht="15.75" customHeight="1">
      <c r="A53" s="8" t="s">
        <v>46</v>
      </c>
      <c r="B53" s="7">
        <f>D2*POWER(B52,E2)</f>
        <v>9.114535917</v>
      </c>
      <c r="C53" s="1" t="s">
        <v>50</v>
      </c>
    </row>
    <row r="54" ht="15.75" customHeight="1">
      <c r="A54" s="8" t="s">
        <v>47</v>
      </c>
      <c r="B54" s="7">
        <f>B52/B53</f>
        <v>4.419699383</v>
      </c>
      <c r="C54" s="1" t="s">
        <v>51</v>
      </c>
    </row>
    <row r="55" ht="15.75" customHeight="1">
      <c r="A55" s="8" t="s">
        <v>48</v>
      </c>
      <c r="B55" s="9">
        <f>B54*1878344</f>
        <v>8301715.818</v>
      </c>
      <c r="C55" s="1" t="s">
        <v>52</v>
      </c>
    </row>
    <row r="56" ht="15.75" customHeight="1">
      <c r="C56" s="9">
        <f>B55*B53</f>
        <v>75666287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2024-02-09T21:52:18Z</dcterms:created>
  <dc:creator>APRENDIZ</dc:creator>
</cp:coreProperties>
</file>